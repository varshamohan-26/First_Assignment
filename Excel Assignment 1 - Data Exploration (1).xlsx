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8F7F77BB-A037-4995-8203-1BDCE5CC0C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H39" i="3"/>
  <c r="H38" i="3"/>
  <c r="E39" i="3"/>
  <c r="E3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B40" i="3"/>
  <c r="B39" i="3"/>
  <c r="B38" i="3"/>
</calcChain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<sst xmlns="http://schemas.openxmlformats.org/spreadsheetml/2006/main" count="315" uniqueCount="124">
  <si>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</si>
  <si>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</si>
  <si>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</si>
  <si>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</si>
  <si>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</si>
  <si>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</si>
  <si>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</si>
  <si>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</si>
  <si>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</si>
  <si>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</si>
  <si>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</si>
  <si>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</si>
  <si>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</si>
  <si>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</si>
  <si>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</si>
  <si>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</si>
  <si>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</si>
  <si>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</si>
  <si>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</si>
  <si>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</si>
  <si>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</si>
  <si>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</si>
  <si>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</si>
  <si>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</si>
  <si>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</si>
  <si>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</si>
  <si>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</si>
  <si>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</si>
  <si>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</si>
  <si>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</si>
  <si>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</si>
  <si>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</si>
  <si>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</si>
  <si>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</si>
  <si>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</si>
  <si>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</si>
  <si>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</si>
  <si>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</si>
  <si>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</si>
  <si>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</si>
  <si>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</si>
  <si>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</si>
  <si>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</si>
  <si>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</si>
  <si>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</si>
  <si>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</si>
  <si>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</si>
  <si>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</si>
  <si>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</si>
  <si>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</si>
  <si>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</si>
  <si>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</si>
  <si>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</si>
  <si>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</si>
  <si>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</si>
  <si>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</si>
  <si>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</si>
  <si>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</si>
  <si>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</si>
  <si>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</si>
  <si>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</si>
  <si>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</si>
  <si>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</si>
  <si>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</si>
  <si>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</si>
  <si>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</si>
  <si>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</si>
  <si>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</si>
  <si>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</si>
  <si>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</si>
  <si>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</si>
  <si>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</si>
  <si>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</si>
  <si>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</si>
  <si>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</si>
  <si>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</si>
  <si>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</si>
  <si>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</si>
  <si>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</si>
  <si>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</si>
  <si>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</si>
  <si>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</si>
  <si>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</si>
  <si>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</si>
  <si>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</si>
  <si>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</si>
  <si>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</si>
  <si>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</si>
  <si>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</si>
  <si>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</si>
  <si>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</si>
  <si>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</si>
  <si>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</si>
  <si>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</si>
  <si>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</si>
  <si>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</si>
  <si>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</si>
  <si>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</si>
  <si>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</si>
  <si>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</si>
  <si>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</si>
  <si>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</si>
  <si>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</si>
  <si>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</si>
  <si>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</si>
  <si>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</si>
  <si>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</si>
  <si>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</si>
  <si>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</si>
  <si>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</si>
  <si>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NUMBER OF PRODUCTS</t>
  </si>
  <si>
    <t>AVERAGE PRICE</t>
  </si>
  <si>
    <t>MINIMUM PRICE</t>
  </si>
  <si>
    <t>MAXIMUM PRICE</t>
  </si>
  <si>
    <t>Price Range</t>
  </si>
  <si>
    <t>TOTAL PRICE FOR PRODUCTS IN THE ELECTRONICS</t>
  </si>
  <si>
    <t xml:space="preserve">TOTAL PRICE </t>
  </si>
  <si>
    <t>ANSWER 1</t>
  </si>
  <si>
    <t>ANSWER 2</t>
  </si>
  <si>
    <t>ANSWER 4</t>
  </si>
  <si>
    <t>COUNT OF PRODUCTS WITH A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</si>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</sst>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0" borderId="0" xfId="0" applyAlignment="1">
      <alignment horizontal="center"/>
    </xf>
    <xf numFmtId="0" fontId="1" fillId="5" borderId="1" xfId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7" zoomScaleNormal="100" workbookViewId="0">
      <selection activeCell="K11" sqref="K1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38CF-8B6A-4EC1-803B-23BC8691AE1C}">
  <dimension ref="A1:K40"/>
  <sheetViews>
    <sheetView tabSelected="1" topLeftCell="A37" workbookViewId="0">
      <selection activeCell="G37" sqref="G37:H37"/>
    </sheetView>
  </sheetViews>
  <sheetFormatPr defaultColWidth="17.109375" defaultRowHeight="24.6" customHeight="1" x14ac:dyDescent="0.25"/>
  <cols>
    <col min="1" max="1" width="47.88671875" bestFit="1" customWidth="1"/>
    <col min="7" max="7" width="54.5546875" bestFit="1" customWidth="1"/>
  </cols>
  <sheetData>
    <row r="1" spans="1:10" ht="24.6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114</v>
      </c>
      <c r="H1" s="12" t="s">
        <v>121</v>
      </c>
      <c r="I1" s="12" t="s">
        <v>122</v>
      </c>
      <c r="J1" s="12" t="s">
        <v>123</v>
      </c>
    </row>
    <row r="2" spans="1:10" ht="24.6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1" t="str">
        <f>IF(D2&gt;=500,"High Price","Standard Price")</f>
        <v>High Price</v>
      </c>
      <c r="H2" s="11" t="str">
        <f>LEFT(A2,2)</f>
        <v>28</v>
      </c>
      <c r="I2" s="11" t="str">
        <f>RIGHT(A2,2)</f>
        <v>US</v>
      </c>
      <c r="J2" s="11" t="str">
        <f>MID(A2,4,3)</f>
        <v>JAN</v>
      </c>
    </row>
    <row r="3" spans="1:10" ht="24.6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1" t="str">
        <f t="shared" ref="G3:G35" si="0">IF(D3&gt;=500,"High Price","Standard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</row>
    <row r="4" spans="1:10" ht="24.6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1" t="str">
        <f t="shared" si="0"/>
        <v>Standard Price</v>
      </c>
      <c r="H4" s="11" t="str">
        <f t="shared" si="1"/>
        <v>03</v>
      </c>
      <c r="I4" s="11" t="str">
        <f t="shared" si="2"/>
        <v>US</v>
      </c>
      <c r="J4" s="11" t="str">
        <f t="shared" si="3"/>
        <v>MAR</v>
      </c>
    </row>
    <row r="5" spans="1:10" ht="24.6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1" t="str">
        <f t="shared" si="0"/>
        <v>High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</row>
    <row r="6" spans="1:10" ht="24.6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1" t="str">
        <f t="shared" si="0"/>
        <v>Standard Price</v>
      </c>
      <c r="H6" s="11" t="str">
        <f t="shared" si="1"/>
        <v>22</v>
      </c>
      <c r="I6" s="11" t="str">
        <f t="shared" si="2"/>
        <v>US</v>
      </c>
      <c r="J6" s="11" t="str">
        <f t="shared" si="3"/>
        <v>MAY</v>
      </c>
    </row>
    <row r="7" spans="1:10" ht="24.6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1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</row>
    <row r="8" spans="1:10" ht="24.6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1" t="str">
        <f t="shared" si="0"/>
        <v>Standard Price</v>
      </c>
      <c r="H8" s="11" t="str">
        <f t="shared" si="1"/>
        <v>19</v>
      </c>
      <c r="I8" s="11" t="str">
        <f t="shared" si="2"/>
        <v>UK</v>
      </c>
      <c r="J8" s="11" t="str">
        <f t="shared" si="3"/>
        <v>JUL</v>
      </c>
    </row>
    <row r="9" spans="1:10" ht="24.6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1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</row>
    <row r="10" spans="1:10" ht="24.6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1" t="str">
        <f t="shared" si="0"/>
        <v>High Price</v>
      </c>
      <c r="H10" s="11" t="str">
        <f t="shared" si="1"/>
        <v>05</v>
      </c>
      <c r="I10" s="11" t="str">
        <f t="shared" si="2"/>
        <v>UK</v>
      </c>
      <c r="J10" s="11" t="str">
        <f t="shared" si="3"/>
        <v>SEP</v>
      </c>
    </row>
    <row r="11" spans="1:10" ht="24.6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1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</row>
    <row r="12" spans="1:10" ht="24.6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1" t="str">
        <f t="shared" si="0"/>
        <v>High Price</v>
      </c>
      <c r="H12" s="11" t="str">
        <f t="shared" si="1"/>
        <v>17</v>
      </c>
      <c r="I12" s="11" t="str">
        <f t="shared" si="2"/>
        <v>IN</v>
      </c>
      <c r="J12" s="11" t="str">
        <f t="shared" si="3"/>
        <v>JUN</v>
      </c>
    </row>
    <row r="13" spans="1:10" ht="24.6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1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</row>
    <row r="14" spans="1:10" ht="24.6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1" t="str">
        <f t="shared" si="0"/>
        <v>Standard Price</v>
      </c>
      <c r="H14" s="11" t="str">
        <f t="shared" si="1"/>
        <v>08</v>
      </c>
      <c r="I14" s="11" t="str">
        <f t="shared" si="2"/>
        <v>DE</v>
      </c>
      <c r="J14" s="11" t="str">
        <f t="shared" si="3"/>
        <v>DEC</v>
      </c>
    </row>
    <row r="15" spans="1:10" ht="24.6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1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</row>
    <row r="16" spans="1:10" ht="24.6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1" t="str">
        <f t="shared" si="0"/>
        <v>Standard Price</v>
      </c>
      <c r="H16" s="11" t="str">
        <f t="shared" si="1"/>
        <v>16</v>
      </c>
      <c r="I16" s="11" t="str">
        <f t="shared" si="2"/>
        <v>ES</v>
      </c>
      <c r="J16" s="11" t="str">
        <f t="shared" si="3"/>
        <v>APR</v>
      </c>
    </row>
    <row r="17" spans="1:10" ht="24.6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1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</row>
    <row r="18" spans="1:10" ht="24.6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1" t="str">
        <f t="shared" si="0"/>
        <v>Standard Price</v>
      </c>
      <c r="H18" s="11" t="str">
        <f t="shared" si="1"/>
        <v>20</v>
      </c>
      <c r="I18" s="11" t="str">
        <f t="shared" si="2"/>
        <v>CN</v>
      </c>
      <c r="J18" s="11" t="str">
        <f t="shared" si="3"/>
        <v>AUG</v>
      </c>
    </row>
    <row r="19" spans="1:10" ht="24.6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1" t="str">
        <f t="shared" si="0"/>
        <v>High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</row>
    <row r="20" spans="1:10" ht="24.6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1" t="str">
        <f t="shared" si="0"/>
        <v>Standard Price</v>
      </c>
      <c r="H20" s="11" t="str">
        <f t="shared" si="1"/>
        <v>01</v>
      </c>
      <c r="I20" s="11" t="str">
        <f t="shared" si="2"/>
        <v>UK</v>
      </c>
      <c r="J20" s="11" t="str">
        <f t="shared" si="3"/>
        <v>MAR</v>
      </c>
    </row>
    <row r="21" spans="1:10" ht="24.6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1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</row>
    <row r="22" spans="1:10" ht="24.6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1" t="str">
        <f t="shared" si="0"/>
        <v>High Price</v>
      </c>
      <c r="H22" s="11" t="str">
        <f t="shared" si="1"/>
        <v>14</v>
      </c>
      <c r="I22" s="11" t="str">
        <f t="shared" si="2"/>
        <v>RU</v>
      </c>
      <c r="J22" s="11" t="str">
        <f t="shared" si="3"/>
        <v>MAY</v>
      </c>
    </row>
    <row r="23" spans="1:10" ht="24.6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1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</row>
    <row r="24" spans="1:10" ht="24.6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1" t="str">
        <f t="shared" si="0"/>
        <v>Standard Price</v>
      </c>
      <c r="H24" s="11" t="str">
        <f t="shared" si="1"/>
        <v>19</v>
      </c>
      <c r="I24" s="11" t="str">
        <f t="shared" si="2"/>
        <v>BR</v>
      </c>
      <c r="J24" s="11" t="str">
        <f t="shared" si="3"/>
        <v>JUL</v>
      </c>
    </row>
    <row r="25" spans="1:10" ht="24.6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1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</row>
    <row r="26" spans="1:10" ht="24.6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1" t="str">
        <f t="shared" si="0"/>
        <v>High Price</v>
      </c>
      <c r="H26" s="11" t="str">
        <f t="shared" si="1"/>
        <v>29</v>
      </c>
      <c r="I26" s="11" t="str">
        <f t="shared" si="2"/>
        <v>CA</v>
      </c>
      <c r="J26" s="11" t="str">
        <f t="shared" si="3"/>
        <v>SEP</v>
      </c>
    </row>
    <row r="27" spans="1:10" ht="24.6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1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</row>
    <row r="28" spans="1:10" ht="24.6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1" t="str">
        <f t="shared" si="0"/>
        <v>Standard Price</v>
      </c>
      <c r="H28" s="11" t="str">
        <f t="shared" si="1"/>
        <v>11</v>
      </c>
      <c r="I28" s="11" t="str">
        <f t="shared" si="2"/>
        <v>CA</v>
      </c>
      <c r="J28" s="11" t="str">
        <f t="shared" si="3"/>
        <v>JUL</v>
      </c>
    </row>
    <row r="29" spans="1:10" ht="24.6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1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</row>
    <row r="30" spans="1:10" ht="24.6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1" t="str">
        <f t="shared" si="0"/>
        <v>Standard Price</v>
      </c>
      <c r="H30" s="11" t="str">
        <f t="shared" si="1"/>
        <v>07</v>
      </c>
      <c r="I30" s="11" t="str">
        <f t="shared" si="2"/>
        <v>CA</v>
      </c>
      <c r="J30" s="11" t="str">
        <f t="shared" si="3"/>
        <v>MAR</v>
      </c>
    </row>
    <row r="31" spans="1:10" ht="24.6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1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</row>
    <row r="32" spans="1:10" ht="24.6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1" t="str">
        <f t="shared" si="0"/>
        <v>Standard Price</v>
      </c>
      <c r="H32" s="11" t="str">
        <f t="shared" si="1"/>
        <v>24</v>
      </c>
      <c r="I32" s="11" t="str">
        <f t="shared" si="2"/>
        <v>CA</v>
      </c>
      <c r="J32" s="11" t="str">
        <f t="shared" si="3"/>
        <v>MAY</v>
      </c>
    </row>
    <row r="33" spans="1:11" ht="24.6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1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</row>
    <row r="34" spans="1:11" ht="24.6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1" t="str">
        <f t="shared" si="0"/>
        <v>High Price</v>
      </c>
      <c r="H34" s="11" t="str">
        <f t="shared" si="1"/>
        <v>17</v>
      </c>
      <c r="I34" s="11" t="str">
        <f t="shared" si="2"/>
        <v>IN</v>
      </c>
      <c r="J34" s="11" t="str">
        <f t="shared" si="3"/>
        <v>JUN</v>
      </c>
    </row>
    <row r="35" spans="1:11" ht="24.6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1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</row>
    <row r="37" spans="1:11" ht="24.6" customHeight="1" x14ac:dyDescent="0.25">
      <c r="A37" s="13" t="s">
        <v>117</v>
      </c>
      <c r="B37" s="13"/>
      <c r="D37" s="13" t="s">
        <v>118</v>
      </c>
      <c r="E37" s="13"/>
      <c r="G37" s="13" t="s">
        <v>119</v>
      </c>
      <c r="H37" s="13"/>
      <c r="J37" s="10"/>
      <c r="K37" s="10"/>
    </row>
    <row r="38" spans="1:11" ht="24.6" customHeight="1" x14ac:dyDescent="0.25">
      <c r="A38" s="11" t="s">
        <v>116</v>
      </c>
      <c r="B38" s="11">
        <f>SUM(D2:D35)</f>
        <v>10100</v>
      </c>
      <c r="D38" s="11" t="s">
        <v>112</v>
      </c>
      <c r="E38" s="11">
        <f>MIN(D2:D35)</f>
        <v>30</v>
      </c>
      <c r="G38" s="11" t="s">
        <v>115</v>
      </c>
      <c r="H38" s="11">
        <f>SUMIF(F2:F35,"Electronics",D2:D35)</f>
        <v>8050</v>
      </c>
    </row>
    <row r="39" spans="1:11" ht="24.6" customHeight="1" x14ac:dyDescent="0.25">
      <c r="A39" s="11" t="s">
        <v>110</v>
      </c>
      <c r="B39" s="11">
        <f>COUNT(D2:D35)</f>
        <v>34</v>
      </c>
      <c r="D39" s="11" t="s">
        <v>113</v>
      </c>
      <c r="E39" s="11">
        <f>MAX(D2:D35)</f>
        <v>1000</v>
      </c>
      <c r="G39" s="11" t="s">
        <v>120</v>
      </c>
      <c r="H39" s="11">
        <f>COUNTIF(D2:D35,"&lt;100")</f>
        <v>11</v>
      </c>
    </row>
    <row r="40" spans="1:11" ht="24.6" customHeight="1" x14ac:dyDescent="0.25">
      <c r="A40" s="11" t="s">
        <v>111</v>
      </c>
      <c r="B40" s="11">
        <f>AVERAGE(D2:D35)</f>
        <v>297.05882352941177</v>
      </c>
    </row>
  </sheetData>
  <mergeCells count="3">
    <mergeCell ref="A37:B37"/>
    <mergeCell ref="D37:E37"/>
    <mergeCell ref="G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varshagourimohan@gmail.com</cp:lastModifiedBy>
  <dcterms:created xsi:type="dcterms:W3CDTF">2026-09-25T21:31:06Z</dcterms:created>
  <dcterms:modified xsi:type="dcterms:W3CDTF">2026-09-25T15:24:08Z</dcterms:modified>
</cp:coreProperties>
</file>